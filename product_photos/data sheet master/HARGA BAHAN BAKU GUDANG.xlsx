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ANAGER KEUANGAN\PT SBU Arman Kamal\LAPORAN ALL\LAPORAN KE INVESTOR\SO ALL OUTLET\"/>
    </mc:Choice>
  </mc:AlternateContent>
  <xr:revisionPtr revIDLastSave="0" documentId="13_ncr:1_{276E2F88-2A47-4473-A6BD-F72D547FFA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gus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8" i="1" l="1"/>
  <c r="F32" i="1"/>
  <c r="F31" i="1"/>
  <c r="F22" i="1"/>
  <c r="F83" i="1"/>
  <c r="F82" i="1"/>
  <c r="F81" i="1"/>
  <c r="F70" i="1"/>
  <c r="F71" i="1"/>
  <c r="F72" i="1"/>
  <c r="F73" i="1"/>
  <c r="F74" i="1"/>
  <c r="F75" i="1"/>
  <c r="F76" i="1"/>
  <c r="F77" i="1"/>
  <c r="F78" i="1"/>
  <c r="F79" i="1"/>
  <c r="F80" i="1"/>
  <c r="F69" i="1"/>
  <c r="F68" i="1"/>
  <c r="F67" i="1"/>
  <c r="F66" i="1"/>
  <c r="F65" i="1"/>
  <c r="F64" i="1"/>
  <c r="F63" i="1"/>
  <c r="F62" i="1"/>
  <c r="F61" i="1"/>
  <c r="F60" i="1"/>
  <c r="F55" i="1"/>
  <c r="F54" i="1"/>
  <c r="F59" i="1"/>
  <c r="F58" i="1"/>
  <c r="F57" i="1"/>
  <c r="F56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0" i="1"/>
  <c r="F29" i="1"/>
  <c r="F28" i="1"/>
  <c r="F27" i="1"/>
  <c r="F26" i="1"/>
  <c r="F25" i="1"/>
  <c r="F24" i="1"/>
  <c r="F23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D45" i="1"/>
  <c r="D44" i="1"/>
</calcChain>
</file>

<file path=xl/sharedStrings.xml><?xml version="1.0" encoding="utf-8"?>
<sst xmlns="http://schemas.openxmlformats.org/spreadsheetml/2006/main" count="520" uniqueCount="318">
  <si>
    <t>Kode</t>
  </si>
  <si>
    <t>Nama Barang</t>
  </si>
  <si>
    <t>Satuan</t>
  </si>
  <si>
    <t>Harga</t>
  </si>
  <si>
    <t>Isi</t>
  </si>
  <si>
    <t>GY/KYU/PRB.001</t>
  </si>
  <si>
    <t>Ayam Cut 9</t>
  </si>
  <si>
    <t>Bks @9Ptg</t>
  </si>
  <si>
    <t>9 Potong</t>
  </si>
  <si>
    <t>GY/KYU/PRB.002</t>
  </si>
  <si>
    <t>Ayam Cut 2</t>
  </si>
  <si>
    <t>Bks @1Ekor</t>
  </si>
  <si>
    <t>1 Ekor</t>
  </si>
  <si>
    <t>GY/KYU/PRB.003</t>
  </si>
  <si>
    <t>Kulit Ayam</t>
  </si>
  <si>
    <t>Bks @1Kg</t>
  </si>
  <si>
    <t>1 Kg</t>
  </si>
  <si>
    <t>GY/KYU/PRB.004</t>
  </si>
  <si>
    <t>Sambal Rica Manado</t>
  </si>
  <si>
    <t>Bks @500Grm</t>
  </si>
  <si>
    <t>500 Grm</t>
  </si>
  <si>
    <t>GY/KYU/PRB.005</t>
  </si>
  <si>
    <t>Sambal Ijo Padang</t>
  </si>
  <si>
    <t>GY/KYU/PRB.006</t>
  </si>
  <si>
    <t>Sambal Korek Surabaya</t>
  </si>
  <si>
    <t>GY/KYU/PRK.001</t>
  </si>
  <si>
    <t>Tepung Mix Geyuksss</t>
  </si>
  <si>
    <t>Zak @25Kg</t>
  </si>
  <si>
    <t>25 Kg</t>
  </si>
  <si>
    <t>GY/KYU/PRK.002</t>
  </si>
  <si>
    <t>Teh Mix</t>
  </si>
  <si>
    <t>Bks @2,3Kg</t>
  </si>
  <si>
    <t>2,3 Kg</t>
  </si>
  <si>
    <t>GY/KYU/PRK.003</t>
  </si>
  <si>
    <t>Bumbu Marinasi</t>
  </si>
  <si>
    <t>GY/KYU/PRK.004</t>
  </si>
  <si>
    <t>Bumbu C</t>
  </si>
  <si>
    <t>Bks @550Grm</t>
  </si>
  <si>
    <t>550 Grm</t>
  </si>
  <si>
    <t>GY/PRR/BBF.001</t>
  </si>
  <si>
    <t>Beras</t>
  </si>
  <si>
    <t>25.000 Grm</t>
  </si>
  <si>
    <t>GY/PRR/BBF.002</t>
  </si>
  <si>
    <t>Minyak Padat</t>
  </si>
  <si>
    <t>Karton @15Kg</t>
  </si>
  <si>
    <t>15 Kg</t>
  </si>
  <si>
    <t>GY/PRR/BBF.003</t>
  </si>
  <si>
    <t>Minyak Goreng</t>
  </si>
  <si>
    <t>Karton @12Ltr</t>
  </si>
  <si>
    <t>12 Ltr</t>
  </si>
  <si>
    <t>GY/PRR/BBF.004</t>
  </si>
  <si>
    <t>Bubuk Bbq</t>
  </si>
  <si>
    <t>GY/PRR/BBF.005</t>
  </si>
  <si>
    <t>Garam Halus</t>
  </si>
  <si>
    <t>GY/PRR/BBF.006</t>
  </si>
  <si>
    <t>Cuka</t>
  </si>
  <si>
    <t>Btl @650Mil</t>
  </si>
  <si>
    <t>650 Mil</t>
  </si>
  <si>
    <t>GY/PRR/BBF.007</t>
  </si>
  <si>
    <t>Saos Tiram</t>
  </si>
  <si>
    <t>Btl @1Ltr</t>
  </si>
  <si>
    <t>1 Ltr</t>
  </si>
  <si>
    <t>GY/PRR/BBF.008</t>
  </si>
  <si>
    <t>Santan Sasa</t>
  </si>
  <si>
    <t>Karton @32Pcs</t>
  </si>
  <si>
    <t>32 Pcs</t>
  </si>
  <si>
    <t>GY/PRR/BBF.009</t>
  </si>
  <si>
    <t>Kecap ABC</t>
  </si>
  <si>
    <t>Jrg @5Ltr</t>
  </si>
  <si>
    <t>5 Ltr</t>
  </si>
  <si>
    <t>GY/PRR/BBF.010</t>
  </si>
  <si>
    <t>Indomie Goreng</t>
  </si>
  <si>
    <t>Karton @40Bks</t>
  </si>
  <si>
    <t>40 Bks</t>
  </si>
  <si>
    <t>GY/PRR/BBF.011</t>
  </si>
  <si>
    <t>Bihun</t>
  </si>
  <si>
    <t>Bks</t>
  </si>
  <si>
    <t>300 Grm</t>
  </si>
  <si>
    <t>GY/PRR/BBF.012</t>
  </si>
  <si>
    <t>Keju Likuid</t>
  </si>
  <si>
    <t>GY/PRR/BBF.013</t>
  </si>
  <si>
    <t>Gula Pasir</t>
  </si>
  <si>
    <t>Pcs @1Kg</t>
  </si>
  <si>
    <t>GY/PRR/BBF.014</t>
  </si>
  <si>
    <t>Keju Mozarella</t>
  </si>
  <si>
    <t>Bks @1,2Kg</t>
  </si>
  <si>
    <t>1,2 Kg</t>
  </si>
  <si>
    <t>GY/PRR/BBF.015</t>
  </si>
  <si>
    <t>Keju Parut</t>
  </si>
  <si>
    <t>Pcs @165Grm</t>
  </si>
  <si>
    <t>165 Grm</t>
  </si>
  <si>
    <t>GY/PRR/BBF.016</t>
  </si>
  <si>
    <t>Bakso Ayam</t>
  </si>
  <si>
    <t>Bks@9Pcs</t>
  </si>
  <si>
    <t>9 Pcs</t>
  </si>
  <si>
    <t>GY/PRR/BBF.017</t>
  </si>
  <si>
    <t>Saos Saset Cabe</t>
  </si>
  <si>
    <t>Karton @30Bks</t>
  </si>
  <si>
    <t>30 Bks</t>
  </si>
  <si>
    <t>GY/PRR/BBF.018</t>
  </si>
  <si>
    <t>Saos Saset Tomat</t>
  </si>
  <si>
    <t>GY/PRR/BBB.001</t>
  </si>
  <si>
    <t>Big Cola</t>
  </si>
  <si>
    <t>Btl @3,1Ltr</t>
  </si>
  <si>
    <t>3,1 Ltr</t>
  </si>
  <si>
    <t>GY/PRR/BBB.002</t>
  </si>
  <si>
    <t>Bubuk Oranges</t>
  </si>
  <si>
    <t>Karton @12Bks</t>
  </si>
  <si>
    <t>6.720 Grm</t>
  </si>
  <si>
    <t>GY/PRR/BBB.003</t>
  </si>
  <si>
    <t>Bubuk Milo</t>
  </si>
  <si>
    <t>Bks @960Grm</t>
  </si>
  <si>
    <t>960 Grm</t>
  </si>
  <si>
    <t>GY/PRR/BBB.004</t>
  </si>
  <si>
    <t>Lemon Tea</t>
  </si>
  <si>
    <t>GY/PRR/BBB.005</t>
  </si>
  <si>
    <t>Air Mineral Botol</t>
  </si>
  <si>
    <t>Karton @24Btl</t>
  </si>
  <si>
    <t>24 Botol</t>
  </si>
  <si>
    <t>GY/PRR/BBB.006</t>
  </si>
  <si>
    <t>Air Mineral Gelas</t>
  </si>
  <si>
    <t>Karton @40Pcs</t>
  </si>
  <si>
    <t>40 Pcs</t>
  </si>
  <si>
    <t>GY/PRR/BPM.001</t>
  </si>
  <si>
    <t>Alas Nasi Bundar</t>
  </si>
  <si>
    <t>Ikat @5Bks</t>
  </si>
  <si>
    <t>750 Lbr</t>
  </si>
  <si>
    <t>GY/PRR/BPM.002</t>
  </si>
  <si>
    <t>Garpu Plastik</t>
  </si>
  <si>
    <t>Bks @100Pcs</t>
  </si>
  <si>
    <t>100 Pcs</t>
  </si>
  <si>
    <t>GY/PRR/BPM.003</t>
  </si>
  <si>
    <t>Gelas 14 OZ</t>
  </si>
  <si>
    <t>Bks @50Pcs</t>
  </si>
  <si>
    <t>50 Pcs</t>
  </si>
  <si>
    <t>GY/PRR/BPM.004</t>
  </si>
  <si>
    <t>Gelas 22 OZ</t>
  </si>
  <si>
    <t>Bks @25Pcs</t>
  </si>
  <si>
    <t>25 Pcs</t>
  </si>
  <si>
    <t>GY/PRR/BPM.005</t>
  </si>
  <si>
    <t>Kabel Ties</t>
  </si>
  <si>
    <t>GY/PRR/BPM.006</t>
  </si>
  <si>
    <t>Kantong Gelas 1</t>
  </si>
  <si>
    <t>250 Lbr</t>
  </si>
  <si>
    <t>GY/PRR/BPM.007</t>
  </si>
  <si>
    <t>Kantong Gelas 2</t>
  </si>
  <si>
    <t>GY/PRR/BPM.008</t>
  </si>
  <si>
    <t>Kemasan Geprek Yuksss</t>
  </si>
  <si>
    <t>Rim @500Lbr</t>
  </si>
  <si>
    <t>500 Lbr</t>
  </si>
  <si>
    <t>GY/PRR/BPM.009</t>
  </si>
  <si>
    <t>Kemasan Segepok (Biasa)</t>
  </si>
  <si>
    <t>GY/PRR/BPM.010</t>
  </si>
  <si>
    <t>Mika Burger</t>
  </si>
  <si>
    <t>GY/PRR/BPM.011</t>
  </si>
  <si>
    <t>Pembungkus Nasi Putih</t>
  </si>
  <si>
    <t>Bks @50Lbr</t>
  </si>
  <si>
    <t>50 Lbr</t>
  </si>
  <si>
    <t>GY/PRR/BPM.012</t>
  </si>
  <si>
    <t>Pipet</t>
  </si>
  <si>
    <t>Bks @360Pcs</t>
  </si>
  <si>
    <t>360 Pcs</t>
  </si>
  <si>
    <t>GY/PRR/BPM.013</t>
  </si>
  <si>
    <t>Plastik Klip 5X8</t>
  </si>
  <si>
    <t>Pack @10Bks</t>
  </si>
  <si>
    <t>1.000 Lbr</t>
  </si>
  <si>
    <t>GY/PRR/BPM.014</t>
  </si>
  <si>
    <t>Plastik Putih Takeaway Uk. 15</t>
  </si>
  <si>
    <t>GY/PRR/BPM.015</t>
  </si>
  <si>
    <t>Plastik Putih Takeaway Uk. 24</t>
  </si>
  <si>
    <t>Ikat @10Bks</t>
  </si>
  <si>
    <t>GY/PRR/BPM.016</t>
  </si>
  <si>
    <t>Plastik Putih Takeaway Uk. 28</t>
  </si>
  <si>
    <t>GY/PRR/BPM.017</t>
  </si>
  <si>
    <t>Plastik Segepok</t>
  </si>
  <si>
    <t>GY/PRR/BPM.018</t>
  </si>
  <si>
    <t>Roll Cup Press</t>
  </si>
  <si>
    <t>Roll @2000Pcs</t>
  </si>
  <si>
    <t>2.000 Pcs</t>
  </si>
  <si>
    <t>GY/PRR/BPM.019</t>
  </si>
  <si>
    <t>Sendok Plastik</t>
  </si>
  <si>
    <t>GY/PRR/BPM.020</t>
  </si>
  <si>
    <t>Tray Sambal</t>
  </si>
  <si>
    <t>Bks @600Pcs</t>
  </si>
  <si>
    <t>600 Pcs</t>
  </si>
  <si>
    <t>GY/PRR/BPM.021</t>
  </si>
  <si>
    <t>Thinwall Sauce 25 Ml</t>
  </si>
  <si>
    <t>GY/PRR/BPM.022</t>
  </si>
  <si>
    <t>Thinwall Sauce 35 Ml</t>
  </si>
  <si>
    <t>GY/PRR/BPM.023</t>
  </si>
  <si>
    <t>Kertas Nasi Kuning</t>
  </si>
  <si>
    <t>Bks @210Lbr</t>
  </si>
  <si>
    <t>210 Lbr</t>
  </si>
  <si>
    <t>GY/PRR/BPM.024</t>
  </si>
  <si>
    <t>Mika Sekat 5</t>
  </si>
  <si>
    <t>GY/PRR/BPM.025</t>
  </si>
  <si>
    <t>Plastik Klip 7X10</t>
  </si>
  <si>
    <t>GY/PRR/BPO.001</t>
  </si>
  <si>
    <t>Alat Refill Gas Portable</t>
  </si>
  <si>
    <t>Pcs</t>
  </si>
  <si>
    <t>1 Pcs</t>
  </si>
  <si>
    <t>GY/PRR/BPO.002</t>
  </si>
  <si>
    <t>Baju Seragam GY</t>
  </si>
  <si>
    <t>Lbr</t>
  </si>
  <si>
    <t>1 Lbr</t>
  </si>
  <si>
    <t>GY/PRR/BPO.003</t>
  </si>
  <si>
    <t>Apron Kain GY</t>
  </si>
  <si>
    <t>GY/PRR/BPO.004</t>
  </si>
  <si>
    <t>Topi GY</t>
  </si>
  <si>
    <t>GY/PRR/BPO.005</t>
  </si>
  <si>
    <t>Regulator Deep Fryer</t>
  </si>
  <si>
    <t>GY/PRR/BPO.006</t>
  </si>
  <si>
    <t>Regulator High Pressure</t>
  </si>
  <si>
    <t>GY/PRR/BPO.007</t>
  </si>
  <si>
    <t>Pemantik Portable</t>
  </si>
  <si>
    <t>GY/PRR/BPO.008</t>
  </si>
  <si>
    <t>Piring Rotan</t>
  </si>
  <si>
    <t>Lsn @12Pcs</t>
  </si>
  <si>
    <t>GY/PRR/BPO.009</t>
  </si>
  <si>
    <t>Gelas Dine In</t>
  </si>
  <si>
    <t>GY/PRR/BPO.010</t>
  </si>
  <si>
    <t>Penjepit Ayam</t>
  </si>
  <si>
    <t>GY/PRR/BPO.011</t>
  </si>
  <si>
    <t>Saringan Teh</t>
  </si>
  <si>
    <t>GY/PRR/BPO.012</t>
  </si>
  <si>
    <t>Saringan Tepung</t>
  </si>
  <si>
    <t>GY/PRR/BPO.013</t>
  </si>
  <si>
    <t>Thermometer Digital</t>
  </si>
  <si>
    <t>GY/PRR/BPO.014</t>
  </si>
  <si>
    <t>Timer Digital</t>
  </si>
  <si>
    <t>GY/PRR/BPO.015</t>
  </si>
  <si>
    <t>Thermometer Celup</t>
  </si>
  <si>
    <t>GY/PRR/BPO.016</t>
  </si>
  <si>
    <t>Lampu Etalase</t>
  </si>
  <si>
    <t>GY/PRR/BPO.017</t>
  </si>
  <si>
    <t>Lakban Bening</t>
  </si>
  <si>
    <t>Pcs @1cm</t>
  </si>
  <si>
    <t>GY/PRR/BPO.018</t>
  </si>
  <si>
    <t>Roll Kasir Besar</t>
  </si>
  <si>
    <t>Bks @5Roll</t>
  </si>
  <si>
    <t>5 Roll</t>
  </si>
  <si>
    <t>GY/PRR/BPO.019</t>
  </si>
  <si>
    <t>Roll Kasir Kecil</t>
  </si>
  <si>
    <t>Bks @10Roll</t>
  </si>
  <si>
    <t>10 Roll</t>
  </si>
  <si>
    <t>GY/PRR/BPO.020</t>
  </si>
  <si>
    <t>Roll Kasir Sedang</t>
  </si>
  <si>
    <t>GY/PRR/BPO.021</t>
  </si>
  <si>
    <t>Masker</t>
  </si>
  <si>
    <t>Box @50Lbr</t>
  </si>
  <si>
    <t>GY/PRR/BPO.022</t>
  </si>
  <si>
    <t>Sarung Tangan Medis</t>
  </si>
  <si>
    <t>Box @100Lbr</t>
  </si>
  <si>
    <t>100 Lbr</t>
  </si>
  <si>
    <t>GY/PRR/BPO.023</t>
  </si>
  <si>
    <t>Kantong Merah Besar</t>
  </si>
  <si>
    <t>GY/PRR/BPO.024</t>
  </si>
  <si>
    <t>Plastik Sampah 90X120</t>
  </si>
  <si>
    <t>Bks @5Lbr</t>
  </si>
  <si>
    <t>5 Lbr</t>
  </si>
  <si>
    <t>GY/PRR/BPO.025</t>
  </si>
  <si>
    <t>Sarung Tangan Plastik</t>
  </si>
  <si>
    <t>GY/PRR/BPO.026</t>
  </si>
  <si>
    <t>Tissue Hand Towels</t>
  </si>
  <si>
    <t>Karton @36Bks</t>
  </si>
  <si>
    <t>5.400 Lbr</t>
  </si>
  <si>
    <t>GY/PRR/BPO.027</t>
  </si>
  <si>
    <t>Nota</t>
  </si>
  <si>
    <t>GY/PRR/BPO.028</t>
  </si>
  <si>
    <t>Rinso</t>
  </si>
  <si>
    <t>Bks @380Grm</t>
  </si>
  <si>
    <t>380 Grm</t>
  </si>
  <si>
    <t>GY/PRR/BPO.029</t>
  </si>
  <si>
    <t>Cairan Cuci Piring</t>
  </si>
  <si>
    <t>GY/PRR/BPO.030</t>
  </si>
  <si>
    <t>Cairan Cuci Tangan</t>
  </si>
  <si>
    <t>Bks @300Mil</t>
  </si>
  <si>
    <t>300 Mil</t>
  </si>
  <si>
    <t>GY/PRR/BPO.031</t>
  </si>
  <si>
    <t>Cairan Pembersih Kaca</t>
  </si>
  <si>
    <t>Bks @425Mil</t>
  </si>
  <si>
    <t>425 Mil</t>
  </si>
  <si>
    <t>GY/PRR/BPO.032</t>
  </si>
  <si>
    <t>Cairan Pembersih Lantai</t>
  </si>
  <si>
    <t>Bks @770Mil</t>
  </si>
  <si>
    <t>770 Mil</t>
  </si>
  <si>
    <t>GY/PRR/BPO.033</t>
  </si>
  <si>
    <t>Cairan Pembersih Kerak/Toilet</t>
  </si>
  <si>
    <t>GY/PRR/BPO.034</t>
  </si>
  <si>
    <t>Cairan Pembersih Kain</t>
  </si>
  <si>
    <t>GY/PRR/BPO.035</t>
  </si>
  <si>
    <t>Sabun Colek</t>
  </si>
  <si>
    <t>GY/PRR/BPO.036</t>
  </si>
  <si>
    <t>Hit Nyamuk</t>
  </si>
  <si>
    <t>Btl @600Mil</t>
  </si>
  <si>
    <t>600 Mil</t>
  </si>
  <si>
    <t>GY/PRR/BPO.037</t>
  </si>
  <si>
    <t>Isi Hekter</t>
  </si>
  <si>
    <t>GY/PRR/BPO.038</t>
  </si>
  <si>
    <t>Sikat Kawat</t>
  </si>
  <si>
    <t>GY/PRR/BPO.039</t>
  </si>
  <si>
    <t>Spon Cuci Piring</t>
  </si>
  <si>
    <t>GY/PRR/BPO.040</t>
  </si>
  <si>
    <t>Spon Kawat</t>
  </si>
  <si>
    <t>HRG/SAT KECIL</t>
  </si>
  <si>
    <t>TIDAK DIHITUNG</t>
  </si>
  <si>
    <t>Potong</t>
  </si>
  <si>
    <t>Ekor</t>
  </si>
  <si>
    <t>GRM</t>
  </si>
  <si>
    <t>MIL</t>
  </si>
  <si>
    <t>BKS</t>
  </si>
  <si>
    <t>PCS</t>
  </si>
  <si>
    <t>SASET</t>
  </si>
  <si>
    <t>BTL</t>
  </si>
  <si>
    <t>GELAS</t>
  </si>
  <si>
    <t>LBR</t>
  </si>
  <si>
    <t>ROLL</t>
  </si>
  <si>
    <t>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</si>
</sst>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yyyy"/>
    <numFmt numFmtId="165" formatCode="[$Rp]#,##0.00"/>
    <numFmt numFmtId="166" formatCode="[$Rp]#,##0.00" x16r2:formatCode16="[$Rp-jv-Latn-ID]#,##0.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3" fillId="3" borderId="7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165" fontId="3" fillId="3" borderId="7" xfId="0" applyNumberFormat="1" applyFont="1" applyFill="1" applyBorder="1" applyAlignment="1">
      <alignment horizontal="right" vertical="center"/>
    </xf>
    <xf numFmtId="0" fontId="3" fillId="3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165" fontId="3" fillId="4" borderId="7" xfId="0" applyNumberFormat="1" applyFont="1" applyFill="1" applyBorder="1" applyAlignment="1">
      <alignment horizontal="right" vertical="center"/>
    </xf>
    <xf numFmtId="0" fontId="3" fillId="4" borderId="7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165" fontId="3" fillId="5" borderId="7" xfId="0" applyNumberFormat="1" applyFont="1" applyFill="1" applyBorder="1" applyAlignment="1">
      <alignment horizontal="right" vertical="center"/>
    </xf>
    <xf numFmtId="0" fontId="3" fillId="5" borderId="7" xfId="0" applyFont="1" applyFill="1" applyBorder="1" applyAlignment="1">
      <alignment vertical="center"/>
    </xf>
    <xf numFmtId="0" fontId="3" fillId="6" borderId="7" xfId="0" applyFont="1" applyFill="1" applyBorder="1" applyAlignment="1">
      <alignment vertical="center"/>
    </xf>
    <xf numFmtId="0" fontId="3" fillId="6" borderId="7" xfId="0" applyFont="1" applyFill="1" applyBorder="1" applyAlignment="1">
      <alignment vertical="center"/>
    </xf>
    <xf numFmtId="165" fontId="3" fillId="6" borderId="7" xfId="0" applyNumberFormat="1" applyFont="1" applyFill="1" applyBorder="1" applyAlignment="1">
      <alignment horizontal="right" vertical="center"/>
    </xf>
    <xf numFmtId="0" fontId="3" fillId="6" borderId="7" xfId="0" applyFont="1" applyFill="1" applyBorder="1" applyAlignment="1">
      <alignment vertical="center"/>
    </xf>
    <xf numFmtId="0" fontId="3" fillId="6" borderId="7" xfId="0" applyFont="1" applyFill="1" applyBorder="1" applyAlignment="1">
      <alignment vertical="center"/>
    </xf>
    <xf numFmtId="0" fontId="0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166" fontId="0" fillId="0" borderId="8" xfId="0" applyNumberFormat="1" applyFont="1" applyBorder="1" applyAlignment="1"/>
    <xf numFmtId="0" fontId="3" fillId="3" borderId="8" xfId="0" applyFont="1" applyFill="1" applyBorder="1" applyAlignment="1">
      <alignment horizontal="center" vertical="center"/>
    </xf>
    <xf numFmtId="166" fontId="0" fillId="0" borderId="8" xfId="0" applyNumberFormat="1" applyFont="1" applyFill="1" applyBorder="1" applyAlignment="1"/>
    <xf numFmtId="0" fontId="3" fillId="0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/>
    <xf numFmtId="164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3"/>
  <sheetViews>
    <sheetView tabSelected="1" topLeftCell="B1" zoomScale="70" zoomScaleNormal="70" workbookViewId="0">
      <selection activeCell="M15" sqref="M15"/>
    </sheetView>
  </sheetViews>
  <sheetFormatPr defaultColWidth="12.6328125" defaultRowHeight="15.75" customHeight="1" x14ac:dyDescent="0.25"/>
  <cols>
    <col min="1" max="1" width="17.7265625" customWidth="1"/>
    <col min="2" max="2" width="26.54296875" customWidth="1"/>
    <col min="3" max="4" width="15.7265625" customWidth="1"/>
    <col min="6" max="6" width="17.54296875" customWidth="1"/>
    <col min="7" max="7" width="12.6328125" style="21"/>
  </cols>
  <sheetData>
    <row r="1" spans="1:10" ht="15.75" customHeight="1" x14ac:dyDescent="0.25">
      <c r="A1" s="37">
        <v>46235</v>
      </c>
      <c r="B1" s="38"/>
      <c r="C1" s="38"/>
      <c r="D1" s="38"/>
      <c r="E1" s="39"/>
      <c r="F1" s="22"/>
      <c r="G1" s="22"/>
      <c r="H1" s="23"/>
      <c r="I1" s="23"/>
      <c r="J1" s="24"/>
    </row>
    <row r="2" spans="1:10" ht="15.75" customHeight="1" x14ac:dyDescent="0.25">
      <c r="A2" s="34" t="s">
        <v>0</v>
      </c>
      <c r="B2" s="34" t="s">
        <v>1</v>
      </c>
      <c r="C2" s="34" t="s">
        <v>2</v>
      </c>
      <c r="D2" s="34" t="s">
        <v>3</v>
      </c>
      <c r="E2" s="34" t="s">
        <v>4</v>
      </c>
      <c r="F2" s="34" t="s">
        <v>304</v>
      </c>
      <c r="G2" s="34" t="s">
        <v>2</v>
      </c>
    </row>
    <row r="3" spans="1:10" ht="15.75" customHeight="1" x14ac:dyDescent="0.25">
      <c r="A3" s="36"/>
      <c r="B3" s="36"/>
      <c r="C3" s="36"/>
      <c r="D3" s="36"/>
      <c r="E3" s="36"/>
      <c r="F3" s="36"/>
      <c r="G3" s="35"/>
    </row>
    <row r="4" spans="1:10" ht="15.75" customHeight="1" x14ac:dyDescent="0.25">
      <c r="A4" s="40"/>
      <c r="B4" s="40"/>
      <c r="C4" s="40"/>
      <c r="D4" s="40"/>
      <c r="E4" s="40"/>
      <c r="F4" s="36"/>
      <c r="G4" s="35"/>
    </row>
    <row r="5" spans="1:10" ht="15.75" customHeight="1" x14ac:dyDescent="0.25">
      <c r="A5" s="1" t="s">
        <v>5</v>
      </c>
      <c r="B5" s="2" t="s">
        <v>6</v>
      </c>
      <c r="C5" s="3" t="s">
        <v>7</v>
      </c>
      <c r="D5" s="4">
        <v>31426.3</v>
      </c>
      <c r="E5" s="25" t="s">
        <v>8</v>
      </c>
      <c r="F5" s="30">
        <f>D5/9</f>
        <v>3491.8111111111111</v>
      </c>
      <c r="G5" s="31" t="s">
        <v>306</v>
      </c>
      <c r="H5">
        <v>3491.8111111111102</v>
      </c>
    </row>
    <row r="6" spans="1:10" ht="15.75" customHeight="1" x14ac:dyDescent="0.25">
      <c r="A6" s="1" t="s">
        <v>9</v>
      </c>
      <c r="B6" s="2" t="s">
        <v>10</v>
      </c>
      <c r="C6" s="3" t="s">
        <v>11</v>
      </c>
      <c r="D6" s="4">
        <v>38618.629999999997</v>
      </c>
      <c r="E6" s="25" t="s">
        <v>12</v>
      </c>
      <c r="F6" s="30">
        <f>D6/1</f>
        <v>38618.629999999997</v>
      </c>
      <c r="G6" s="31" t="s">
        <v>307</v>
      </c>
      <c r="H6">
        <v>38618.629999999997</v>
      </c>
    </row>
    <row r="7" spans="1:10" ht="15.75" customHeight="1" x14ac:dyDescent="0.25">
      <c r="A7" s="1" t="s">
        <v>13</v>
      </c>
      <c r="B7" s="2" t="s">
        <v>14</v>
      </c>
      <c r="C7" s="3" t="s">
        <v>15</v>
      </c>
      <c r="D7" s="4">
        <v>28000</v>
      </c>
      <c r="E7" s="25" t="s">
        <v>16</v>
      </c>
      <c r="F7" s="30">
        <f>D7/1000</f>
        <v>28</v>
      </c>
      <c r="G7" s="31" t="s">
        <v>308</v>
      </c>
      <c r="H7">
        <v>28</v>
      </c>
    </row>
    <row r="8" spans="1:10" ht="15.75" customHeight="1" x14ac:dyDescent="0.25">
      <c r="A8" s="1" t="s">
        <v>17</v>
      </c>
      <c r="B8" s="5" t="s">
        <v>18</v>
      </c>
      <c r="C8" s="3" t="s">
        <v>19</v>
      </c>
      <c r="D8" s="4">
        <v>51393.675000000003</v>
      </c>
      <c r="E8" s="25" t="s">
        <v>20</v>
      </c>
      <c r="F8" s="30">
        <f>D8/500</f>
        <v>102.78735</v>
      </c>
      <c r="G8" s="31" t="s">
        <v>308</v>
      </c>
      <c r="H8">
        <v>102.78735</v>
      </c>
    </row>
    <row r="9" spans="1:10" ht="15.75" customHeight="1" x14ac:dyDescent="0.25">
      <c r="A9" s="1" t="s">
        <v>21</v>
      </c>
      <c r="B9" s="5" t="s">
        <v>22</v>
      </c>
      <c r="C9" s="3" t="s">
        <v>19</v>
      </c>
      <c r="D9" s="4">
        <v>40000</v>
      </c>
      <c r="E9" s="25" t="s">
        <v>20</v>
      </c>
      <c r="F9" s="30">
        <f>D9/500</f>
        <v>80</v>
      </c>
      <c r="G9" s="31" t="s">
        <v>308</v>
      </c>
      <c r="H9">
        <v>80</v>
      </c>
    </row>
    <row r="10" spans="1:10" ht="15.75" customHeight="1" x14ac:dyDescent="0.25">
      <c r="A10" s="1" t="s">
        <v>23</v>
      </c>
      <c r="B10" s="5" t="s">
        <v>24</v>
      </c>
      <c r="C10" s="3" t="s">
        <v>19</v>
      </c>
      <c r="D10" s="4">
        <v>51393.675000000003</v>
      </c>
      <c r="E10" s="25" t="s">
        <v>20</v>
      </c>
      <c r="F10" s="30">
        <f>D10/500</f>
        <v>102.78735</v>
      </c>
      <c r="G10" s="31" t="s">
        <v>308</v>
      </c>
      <c r="H10">
        <v>102.78735</v>
      </c>
    </row>
    <row r="11" spans="1:10" ht="15.75" customHeight="1" x14ac:dyDescent="0.25">
      <c r="A11" s="6" t="s">
        <v>25</v>
      </c>
      <c r="B11" s="7" t="s">
        <v>26</v>
      </c>
      <c r="C11" s="8" t="s">
        <v>27</v>
      </c>
      <c r="D11" s="9">
        <v>500000</v>
      </c>
      <c r="E11" s="26" t="s">
        <v>28</v>
      </c>
      <c r="F11" s="30">
        <f>D11/25000</f>
        <v>20</v>
      </c>
      <c r="G11" s="31" t="s">
        <v>308</v>
      </c>
      <c r="H11">
        <v>20</v>
      </c>
    </row>
    <row r="12" spans="1:10" ht="15.75" customHeight="1" x14ac:dyDescent="0.25">
      <c r="A12" s="6" t="s">
        <v>29</v>
      </c>
      <c r="B12" s="10" t="s">
        <v>30</v>
      </c>
      <c r="C12" s="6" t="s">
        <v>31</v>
      </c>
      <c r="D12" s="9">
        <v>80000</v>
      </c>
      <c r="E12" s="26" t="s">
        <v>32</v>
      </c>
      <c r="F12" s="30">
        <f>D12/2300</f>
        <v>34.782608695652172</v>
      </c>
      <c r="G12" s="31" t="s">
        <v>308</v>
      </c>
      <c r="H12">
        <v>34.782608695652172</v>
      </c>
    </row>
    <row r="13" spans="1:10" ht="15.75" customHeight="1" x14ac:dyDescent="0.25">
      <c r="A13" s="6" t="s">
        <v>33</v>
      </c>
      <c r="B13" s="7" t="s">
        <v>34</v>
      </c>
      <c r="C13" s="8" t="s">
        <v>15</v>
      </c>
      <c r="D13" s="9">
        <v>82000</v>
      </c>
      <c r="E13" s="26" t="s">
        <v>16</v>
      </c>
      <c r="F13" s="30">
        <f>D13/1000</f>
        <v>82</v>
      </c>
      <c r="G13" s="31" t="s">
        <v>308</v>
      </c>
      <c r="H13">
        <v>82</v>
      </c>
    </row>
    <row r="14" spans="1:10" ht="15.75" customHeight="1" x14ac:dyDescent="0.25">
      <c r="A14" s="6" t="s">
        <v>35</v>
      </c>
      <c r="B14" s="7" t="s">
        <v>36</v>
      </c>
      <c r="C14" s="8" t="s">
        <v>37</v>
      </c>
      <c r="D14" s="9">
        <v>22000</v>
      </c>
      <c r="E14" s="26" t="s">
        <v>38</v>
      </c>
      <c r="F14" s="30">
        <f>D14/550</f>
        <v>40</v>
      </c>
      <c r="G14" s="31" t="s">
        <v>308</v>
      </c>
      <c r="H14">
        <v>40</v>
      </c>
    </row>
    <row r="15" spans="1:10" ht="15.75" customHeight="1" x14ac:dyDescent="0.25">
      <c r="A15" s="6" t="s">
        <v>39</v>
      </c>
      <c r="B15" s="10" t="s">
        <v>40</v>
      </c>
      <c r="C15" s="6" t="s">
        <v>27</v>
      </c>
      <c r="D15" s="9">
        <v>382500</v>
      </c>
      <c r="E15" s="26" t="s">
        <v>41</v>
      </c>
      <c r="F15" s="30">
        <f>D15/25000</f>
        <v>15.3</v>
      </c>
      <c r="G15" s="31" t="s">
        <v>308</v>
      </c>
      <c r="H15">
        <v>15.3</v>
      </c>
    </row>
    <row r="16" spans="1:10" ht="15.75" customHeight="1" x14ac:dyDescent="0.25">
      <c r="A16" s="6" t="s">
        <v>42</v>
      </c>
      <c r="B16" s="10" t="s">
        <v>43</v>
      </c>
      <c r="C16" s="8" t="s">
        <v>44</v>
      </c>
      <c r="D16" s="9">
        <v>417400</v>
      </c>
      <c r="E16" s="26" t="s">
        <v>45</v>
      </c>
      <c r="F16" s="30">
        <f>D16/15000</f>
        <v>27.826666666666668</v>
      </c>
      <c r="G16" s="31" t="s">
        <v>308</v>
      </c>
      <c r="H16">
        <v>27.826666666666668</v>
      </c>
    </row>
    <row r="17" spans="1:8" ht="15.75" customHeight="1" x14ac:dyDescent="0.25">
      <c r="A17" s="6" t="s">
        <v>46</v>
      </c>
      <c r="B17" s="10" t="s">
        <v>47</v>
      </c>
      <c r="C17" s="8" t="s">
        <v>48</v>
      </c>
      <c r="D17" s="9">
        <v>280000</v>
      </c>
      <c r="E17" s="27" t="s">
        <v>49</v>
      </c>
      <c r="F17" s="30">
        <f>D17/12000</f>
        <v>23.333333333333332</v>
      </c>
      <c r="G17" s="31" t="s">
        <v>309</v>
      </c>
      <c r="H17">
        <v>23.333333333333332</v>
      </c>
    </row>
    <row r="18" spans="1:8" ht="15.75" customHeight="1" x14ac:dyDescent="0.25">
      <c r="A18" s="6" t="s">
        <v>50</v>
      </c>
      <c r="B18" s="7" t="s">
        <v>51</v>
      </c>
      <c r="C18" s="8" t="s">
        <v>15</v>
      </c>
      <c r="D18" s="9">
        <v>89000</v>
      </c>
      <c r="E18" s="26" t="s">
        <v>16</v>
      </c>
      <c r="F18" s="30">
        <f>D18/1000</f>
        <v>89</v>
      </c>
      <c r="G18" s="31" t="s">
        <v>308</v>
      </c>
      <c r="H18">
        <v>89</v>
      </c>
    </row>
    <row r="19" spans="1:8" ht="15.75" customHeight="1" x14ac:dyDescent="0.25">
      <c r="A19" s="6" t="s">
        <v>52</v>
      </c>
      <c r="B19" s="7" t="s">
        <v>53</v>
      </c>
      <c r="C19" s="8" t="s">
        <v>19</v>
      </c>
      <c r="D19" s="9">
        <v>6400</v>
      </c>
      <c r="E19" s="26" t="s">
        <v>20</v>
      </c>
      <c r="F19" s="30">
        <f>D19/500</f>
        <v>12.8</v>
      </c>
      <c r="G19" s="31" t="s">
        <v>308</v>
      </c>
      <c r="H19">
        <v>12.8</v>
      </c>
    </row>
    <row r="20" spans="1:8" ht="12.5" x14ac:dyDescent="0.25">
      <c r="A20" s="6" t="s">
        <v>54</v>
      </c>
      <c r="B20" s="7" t="s">
        <v>55</v>
      </c>
      <c r="C20" s="8" t="s">
        <v>56</v>
      </c>
      <c r="D20" s="9">
        <v>19000</v>
      </c>
      <c r="E20" s="26" t="s">
        <v>57</v>
      </c>
      <c r="F20" s="30">
        <f>D20/650</f>
        <v>29.23076923076923</v>
      </c>
      <c r="G20" s="31" t="s">
        <v>309</v>
      </c>
      <c r="H20">
        <v>29.23076923076923</v>
      </c>
    </row>
    <row r="21" spans="1:8" ht="12.5" x14ac:dyDescent="0.25">
      <c r="A21" s="6" t="s">
        <v>58</v>
      </c>
      <c r="B21" s="7" t="s">
        <v>59</v>
      </c>
      <c r="C21" s="8" t="s">
        <v>60</v>
      </c>
      <c r="D21" s="9">
        <v>57000</v>
      </c>
      <c r="E21" s="26" t="s">
        <v>61</v>
      </c>
      <c r="F21" s="30">
        <f>D21/1000</f>
        <v>57</v>
      </c>
      <c r="G21" s="31" t="s">
        <v>309</v>
      </c>
      <c r="H21">
        <v>57</v>
      </c>
    </row>
    <row r="22" spans="1:8" ht="12.5" x14ac:dyDescent="0.25">
      <c r="A22" s="6" t="s">
        <v>62</v>
      </c>
      <c r="B22" s="7" t="s">
        <v>63</v>
      </c>
      <c r="C22" s="8" t="s">
        <v>64</v>
      </c>
      <c r="D22" s="9">
        <v>180000</v>
      </c>
      <c r="E22" s="26" t="s">
        <v>65</v>
      </c>
      <c r="F22" s="32">
        <f>D22/2080</f>
        <v>86.538461538461533</v>
      </c>
      <c r="G22" s="31" t="s">
        <v>309</v>
      </c>
      <c r="H22">
        <v>86.538461538461505</v>
      </c>
    </row>
    <row r="23" spans="1:8" ht="12.5" x14ac:dyDescent="0.25">
      <c r="A23" s="6" t="s">
        <v>66</v>
      </c>
      <c r="B23" s="7" t="s">
        <v>67</v>
      </c>
      <c r="C23" s="8" t="s">
        <v>68</v>
      </c>
      <c r="D23" s="9">
        <v>165000</v>
      </c>
      <c r="E23" s="26" t="s">
        <v>69</v>
      </c>
      <c r="F23" s="30">
        <f>D23/5000</f>
        <v>33</v>
      </c>
      <c r="G23" s="31" t="s">
        <v>309</v>
      </c>
      <c r="H23">
        <v>33</v>
      </c>
    </row>
    <row r="24" spans="1:8" ht="12.5" x14ac:dyDescent="0.25">
      <c r="A24" s="6" t="s">
        <v>70</v>
      </c>
      <c r="B24" s="7" t="s">
        <v>71</v>
      </c>
      <c r="C24" s="8" t="s">
        <v>72</v>
      </c>
      <c r="D24" s="9">
        <v>120000</v>
      </c>
      <c r="E24" s="26" t="s">
        <v>73</v>
      </c>
      <c r="F24" s="30">
        <f>D24/40</f>
        <v>3000</v>
      </c>
      <c r="G24" s="31" t="s">
        <v>310</v>
      </c>
      <c r="H24">
        <v>3000</v>
      </c>
    </row>
    <row r="25" spans="1:8" ht="12.5" x14ac:dyDescent="0.25">
      <c r="A25" s="6" t="s">
        <v>74</v>
      </c>
      <c r="B25" s="7" t="s">
        <v>75</v>
      </c>
      <c r="C25" s="8" t="s">
        <v>76</v>
      </c>
      <c r="D25" s="9">
        <v>11100</v>
      </c>
      <c r="E25" s="26" t="s">
        <v>77</v>
      </c>
      <c r="F25" s="30">
        <f>D25/300</f>
        <v>37</v>
      </c>
      <c r="G25" s="31" t="s">
        <v>308</v>
      </c>
      <c r="H25">
        <v>37</v>
      </c>
    </row>
    <row r="26" spans="1:8" ht="12.5" x14ac:dyDescent="0.25">
      <c r="A26" s="6" t="s">
        <v>78</v>
      </c>
      <c r="B26" s="7" t="s">
        <v>79</v>
      </c>
      <c r="C26" s="8" t="s">
        <v>19</v>
      </c>
      <c r="D26" s="9">
        <v>49300</v>
      </c>
      <c r="E26" s="26" t="s">
        <v>20</v>
      </c>
      <c r="F26" s="30">
        <f>D26/500</f>
        <v>98.6</v>
      </c>
      <c r="G26" s="31" t="s">
        <v>308</v>
      </c>
      <c r="H26">
        <v>98.6</v>
      </c>
    </row>
    <row r="27" spans="1:8" ht="12.5" x14ac:dyDescent="0.25">
      <c r="A27" s="6" t="s">
        <v>80</v>
      </c>
      <c r="B27" s="7" t="s">
        <v>81</v>
      </c>
      <c r="C27" s="6" t="s">
        <v>82</v>
      </c>
      <c r="D27" s="9">
        <v>20000</v>
      </c>
      <c r="E27" s="26" t="s">
        <v>16</v>
      </c>
      <c r="F27" s="30">
        <f>D27/1000</f>
        <v>20</v>
      </c>
      <c r="G27" s="31" t="s">
        <v>308</v>
      </c>
      <c r="H27">
        <v>20</v>
      </c>
    </row>
    <row r="28" spans="1:8" ht="12.5" x14ac:dyDescent="0.25">
      <c r="A28" s="6" t="s">
        <v>83</v>
      </c>
      <c r="B28" s="7" t="s">
        <v>84</v>
      </c>
      <c r="C28" s="8" t="s">
        <v>85</v>
      </c>
      <c r="D28" s="9">
        <v>160000</v>
      </c>
      <c r="E28" s="26" t="s">
        <v>86</v>
      </c>
      <c r="F28" s="30">
        <f>D28/1200</f>
        <v>133.33333333333334</v>
      </c>
      <c r="G28" s="31" t="s">
        <v>308</v>
      </c>
      <c r="H28">
        <v>133.33333333333334</v>
      </c>
    </row>
    <row r="29" spans="1:8" ht="12.5" x14ac:dyDescent="0.25">
      <c r="A29" s="6" t="s">
        <v>87</v>
      </c>
      <c r="B29" s="7" t="s">
        <v>88</v>
      </c>
      <c r="C29" s="8" t="s">
        <v>89</v>
      </c>
      <c r="D29" s="9">
        <v>12100</v>
      </c>
      <c r="E29" s="26" t="s">
        <v>90</v>
      </c>
      <c r="F29" s="30">
        <f>D29/165</f>
        <v>73.333333333333329</v>
      </c>
      <c r="G29" s="31" t="s">
        <v>308</v>
      </c>
      <c r="H29">
        <v>73.3333333333333</v>
      </c>
    </row>
    <row r="30" spans="1:8" ht="12.5" x14ac:dyDescent="0.25">
      <c r="A30" s="6" t="s">
        <v>91</v>
      </c>
      <c r="B30" s="7" t="s">
        <v>92</v>
      </c>
      <c r="C30" s="6" t="s">
        <v>93</v>
      </c>
      <c r="D30" s="9">
        <v>28000</v>
      </c>
      <c r="E30" s="26" t="s">
        <v>94</v>
      </c>
      <c r="F30" s="30">
        <f>D30/9</f>
        <v>3111.1111111111113</v>
      </c>
      <c r="G30" s="31" t="s">
        <v>311</v>
      </c>
      <c r="H30">
        <v>3111.1111111111113</v>
      </c>
    </row>
    <row r="31" spans="1:8" ht="12.5" x14ac:dyDescent="0.25">
      <c r="A31" s="6" t="s">
        <v>95</v>
      </c>
      <c r="B31" s="7" t="s">
        <v>96</v>
      </c>
      <c r="C31" s="8" t="s">
        <v>97</v>
      </c>
      <c r="D31" s="9">
        <v>195000</v>
      </c>
      <c r="E31" s="26" t="s">
        <v>98</v>
      </c>
      <c r="F31" s="32">
        <f>D31/750</f>
        <v>260</v>
      </c>
      <c r="G31" s="31" t="s">
        <v>312</v>
      </c>
      <c r="H31">
        <v>260</v>
      </c>
    </row>
    <row r="32" spans="1:8" ht="12.5" x14ac:dyDescent="0.25">
      <c r="A32" s="6" t="s">
        <v>99</v>
      </c>
      <c r="B32" s="7" t="s">
        <v>100</v>
      </c>
      <c r="C32" s="8" t="s">
        <v>97</v>
      </c>
      <c r="D32" s="9">
        <v>195000</v>
      </c>
      <c r="E32" s="26" t="s">
        <v>98</v>
      </c>
      <c r="F32" s="32">
        <f>D32/750</f>
        <v>260</v>
      </c>
      <c r="G32" s="31" t="s">
        <v>312</v>
      </c>
      <c r="H32">
        <v>260</v>
      </c>
    </row>
    <row r="33" spans="1:8" ht="12.5" x14ac:dyDescent="0.25">
      <c r="A33" s="11" t="s">
        <v>101</v>
      </c>
      <c r="B33" s="12" t="s">
        <v>102</v>
      </c>
      <c r="C33" s="13" t="s">
        <v>103</v>
      </c>
      <c r="D33" s="14">
        <v>28500</v>
      </c>
      <c r="E33" s="28" t="s">
        <v>104</v>
      </c>
      <c r="F33" s="30">
        <f>D33/3100</f>
        <v>9.193548387096774</v>
      </c>
      <c r="G33" s="31" t="s">
        <v>309</v>
      </c>
      <c r="H33">
        <v>9.193548387096774</v>
      </c>
    </row>
    <row r="34" spans="1:8" ht="12.5" x14ac:dyDescent="0.25">
      <c r="A34" s="11" t="s">
        <v>105</v>
      </c>
      <c r="B34" s="15" t="s">
        <v>106</v>
      </c>
      <c r="C34" s="11" t="s">
        <v>107</v>
      </c>
      <c r="D34" s="14">
        <v>672000</v>
      </c>
      <c r="E34" s="28" t="s">
        <v>108</v>
      </c>
      <c r="F34" s="30">
        <f>D34/80640</f>
        <v>8.3333333333333339</v>
      </c>
      <c r="G34" s="31" t="s">
        <v>308</v>
      </c>
      <c r="H34">
        <v>8.3333333333333339</v>
      </c>
    </row>
    <row r="35" spans="1:8" ht="12.5" x14ac:dyDescent="0.25">
      <c r="A35" s="11" t="s">
        <v>109</v>
      </c>
      <c r="B35" s="15" t="s">
        <v>110</v>
      </c>
      <c r="C35" s="13" t="s">
        <v>111</v>
      </c>
      <c r="D35" s="14">
        <v>110000</v>
      </c>
      <c r="E35" s="28" t="s">
        <v>112</v>
      </c>
      <c r="F35" s="30">
        <f>D35/960</f>
        <v>114.58333333333333</v>
      </c>
      <c r="G35" s="31" t="s">
        <v>308</v>
      </c>
      <c r="H35">
        <v>114.58333333333333</v>
      </c>
    </row>
    <row r="36" spans="1:8" ht="12.5" x14ac:dyDescent="0.25">
      <c r="A36" s="11" t="s">
        <v>113</v>
      </c>
      <c r="B36" s="15" t="s">
        <v>114</v>
      </c>
      <c r="C36" s="13" t="s">
        <v>15</v>
      </c>
      <c r="D36" s="14">
        <v>70000</v>
      </c>
      <c r="E36" s="28" t="s">
        <v>16</v>
      </c>
      <c r="F36" s="30">
        <f>D36/1000</f>
        <v>70</v>
      </c>
      <c r="G36" s="31" t="s">
        <v>308</v>
      </c>
      <c r="H36">
        <v>70</v>
      </c>
    </row>
    <row r="37" spans="1:8" ht="12.5" x14ac:dyDescent="0.25">
      <c r="A37" s="11" t="s">
        <v>115</v>
      </c>
      <c r="B37" s="15" t="s">
        <v>116</v>
      </c>
      <c r="C37" s="13" t="s">
        <v>117</v>
      </c>
      <c r="D37" s="14">
        <v>37000</v>
      </c>
      <c r="E37" s="28" t="s">
        <v>118</v>
      </c>
      <c r="F37" s="30">
        <f>D37/24</f>
        <v>1541.6666666666667</v>
      </c>
      <c r="G37" s="31" t="s">
        <v>313</v>
      </c>
      <c r="H37">
        <v>1541.6666666666667</v>
      </c>
    </row>
    <row r="38" spans="1:8" ht="12.5" x14ac:dyDescent="0.25">
      <c r="A38" s="11" t="s">
        <v>119</v>
      </c>
      <c r="B38" s="15" t="s">
        <v>120</v>
      </c>
      <c r="C38" s="13" t="s">
        <v>121</v>
      </c>
      <c r="D38" s="14">
        <v>22000</v>
      </c>
      <c r="E38" s="28" t="s">
        <v>122</v>
      </c>
      <c r="F38" s="30">
        <f>D38/40</f>
        <v>550</v>
      </c>
      <c r="G38" s="31" t="s">
        <v>314</v>
      </c>
      <c r="H38">
        <v>550</v>
      </c>
    </row>
    <row r="39" spans="1:8" ht="12.5" x14ac:dyDescent="0.25">
      <c r="A39" s="16" t="s">
        <v>123</v>
      </c>
      <c r="B39" s="17" t="s">
        <v>124</v>
      </c>
      <c r="C39" s="16" t="s">
        <v>125</v>
      </c>
      <c r="D39" s="18">
        <v>80000</v>
      </c>
      <c r="E39" s="29" t="s">
        <v>126</v>
      </c>
      <c r="F39" s="30">
        <f>D39/3750</f>
        <v>21.333333333333332</v>
      </c>
      <c r="G39" s="31" t="s">
        <v>315</v>
      </c>
      <c r="H39">
        <v>21.333333333333332</v>
      </c>
    </row>
    <row r="40" spans="1:8" ht="12.5" x14ac:dyDescent="0.25">
      <c r="A40" s="16" t="s">
        <v>127</v>
      </c>
      <c r="B40" s="17" t="s">
        <v>128</v>
      </c>
      <c r="C40" s="19" t="s">
        <v>129</v>
      </c>
      <c r="D40" s="18">
        <v>12750</v>
      </c>
      <c r="E40" s="29" t="s">
        <v>130</v>
      </c>
      <c r="F40" s="30">
        <f>D40/100</f>
        <v>127.5</v>
      </c>
      <c r="G40" s="31" t="s">
        <v>311</v>
      </c>
      <c r="H40">
        <v>127.5</v>
      </c>
    </row>
    <row r="41" spans="1:8" ht="12.5" x14ac:dyDescent="0.25">
      <c r="A41" s="16" t="s">
        <v>131</v>
      </c>
      <c r="B41" s="17" t="s">
        <v>132</v>
      </c>
      <c r="C41" s="19" t="s">
        <v>133</v>
      </c>
      <c r="D41" s="18">
        <v>10850</v>
      </c>
      <c r="E41" s="29" t="s">
        <v>134</v>
      </c>
      <c r="F41" s="30">
        <f>D41/50</f>
        <v>217</v>
      </c>
      <c r="G41" s="31" t="s">
        <v>311</v>
      </c>
      <c r="H41">
        <v>217</v>
      </c>
    </row>
    <row r="42" spans="1:8" ht="12.5" x14ac:dyDescent="0.25">
      <c r="A42" s="16" t="s">
        <v>135</v>
      </c>
      <c r="B42" s="17" t="s">
        <v>136</v>
      </c>
      <c r="C42" s="19" t="s">
        <v>137</v>
      </c>
      <c r="D42" s="18">
        <v>17500</v>
      </c>
      <c r="E42" s="29" t="s">
        <v>138</v>
      </c>
      <c r="F42" s="30">
        <f>D42/25</f>
        <v>700</v>
      </c>
      <c r="G42" s="33" t="s">
        <v>311</v>
      </c>
      <c r="H42">
        <v>700</v>
      </c>
    </row>
    <row r="43" spans="1:8" ht="12.5" x14ac:dyDescent="0.25">
      <c r="A43" s="16" t="s">
        <v>139</v>
      </c>
      <c r="B43" s="17" t="s">
        <v>140</v>
      </c>
      <c r="C43" s="19" t="s">
        <v>129</v>
      </c>
      <c r="D43" s="18">
        <v>5500</v>
      </c>
      <c r="E43" s="29" t="s">
        <v>130</v>
      </c>
      <c r="F43" s="30">
        <f>D43/100</f>
        <v>55</v>
      </c>
      <c r="G43" s="33" t="s">
        <v>311</v>
      </c>
      <c r="H43">
        <v>55</v>
      </c>
    </row>
    <row r="44" spans="1:8" ht="12.5" x14ac:dyDescent="0.25">
      <c r="A44" s="16" t="s">
        <v>141</v>
      </c>
      <c r="B44" s="17" t="s">
        <v>142</v>
      </c>
      <c r="C44" s="16" t="s">
        <v>125</v>
      </c>
      <c r="D44" s="18">
        <f>5500*5</f>
        <v>27500</v>
      </c>
      <c r="E44" s="29" t="s">
        <v>143</v>
      </c>
      <c r="F44" s="30">
        <f>D44/250</f>
        <v>110</v>
      </c>
      <c r="G44" s="33" t="s">
        <v>315</v>
      </c>
      <c r="H44">
        <v>110</v>
      </c>
    </row>
    <row r="45" spans="1:8" ht="12.5" x14ac:dyDescent="0.25">
      <c r="A45" s="16" t="s">
        <v>144</v>
      </c>
      <c r="B45" s="17" t="s">
        <v>145</v>
      </c>
      <c r="C45" s="16" t="s">
        <v>125</v>
      </c>
      <c r="D45" s="18">
        <f>6700*5</f>
        <v>33500</v>
      </c>
      <c r="E45" s="29" t="s">
        <v>143</v>
      </c>
      <c r="F45" s="30">
        <f>D45/250</f>
        <v>134</v>
      </c>
      <c r="G45" s="33" t="s">
        <v>315</v>
      </c>
      <c r="H45">
        <v>134</v>
      </c>
    </row>
    <row r="46" spans="1:8" ht="12.5" x14ac:dyDescent="0.25">
      <c r="A46" s="16" t="s">
        <v>146</v>
      </c>
      <c r="B46" s="17" t="s">
        <v>147</v>
      </c>
      <c r="C46" s="19" t="s">
        <v>148</v>
      </c>
      <c r="D46" s="18">
        <v>535000</v>
      </c>
      <c r="E46" s="29" t="s">
        <v>149</v>
      </c>
      <c r="F46" s="30">
        <f>D46/500</f>
        <v>1070</v>
      </c>
      <c r="G46" s="33" t="s">
        <v>315</v>
      </c>
      <c r="H46">
        <v>1070</v>
      </c>
    </row>
    <row r="47" spans="1:8" ht="12.5" x14ac:dyDescent="0.25">
      <c r="A47" s="16" t="s">
        <v>150</v>
      </c>
      <c r="B47" s="17" t="s">
        <v>151</v>
      </c>
      <c r="C47" s="19" t="s">
        <v>148</v>
      </c>
      <c r="D47" s="18">
        <v>1025000</v>
      </c>
      <c r="E47" s="29" t="s">
        <v>149</v>
      </c>
      <c r="F47" s="30">
        <f>D47/500</f>
        <v>2050</v>
      </c>
      <c r="G47" s="33" t="s">
        <v>315</v>
      </c>
      <c r="H47">
        <v>2050</v>
      </c>
    </row>
    <row r="48" spans="1:8" ht="12.5" x14ac:dyDescent="0.25">
      <c r="A48" s="16" t="s">
        <v>152</v>
      </c>
      <c r="B48" s="17" t="s">
        <v>153</v>
      </c>
      <c r="C48" s="16" t="s">
        <v>133</v>
      </c>
      <c r="D48" s="18">
        <v>19500</v>
      </c>
      <c r="E48" s="29" t="s">
        <v>134</v>
      </c>
      <c r="F48" s="30">
        <f>D48/50</f>
        <v>390</v>
      </c>
      <c r="G48" s="33" t="s">
        <v>311</v>
      </c>
      <c r="H48">
        <v>390</v>
      </c>
    </row>
    <row r="49" spans="1:8" ht="12.5" x14ac:dyDescent="0.25">
      <c r="A49" s="16" t="s">
        <v>154</v>
      </c>
      <c r="B49" s="17" t="s">
        <v>155</v>
      </c>
      <c r="C49" s="19" t="s">
        <v>156</v>
      </c>
      <c r="D49" s="18">
        <v>9800</v>
      </c>
      <c r="E49" s="29" t="s">
        <v>157</v>
      </c>
      <c r="F49" s="30">
        <f>D49/50</f>
        <v>196</v>
      </c>
      <c r="G49" s="33" t="s">
        <v>315</v>
      </c>
      <c r="H49">
        <v>196</v>
      </c>
    </row>
    <row r="50" spans="1:8" ht="12.5" x14ac:dyDescent="0.25">
      <c r="A50" s="16" t="s">
        <v>158</v>
      </c>
      <c r="B50" s="17" t="s">
        <v>159</v>
      </c>
      <c r="C50" s="19" t="s">
        <v>160</v>
      </c>
      <c r="D50" s="18">
        <v>12500</v>
      </c>
      <c r="E50" s="29" t="s">
        <v>161</v>
      </c>
      <c r="F50" s="30">
        <f>D50/360</f>
        <v>34.722222222222221</v>
      </c>
      <c r="G50" s="33" t="s">
        <v>311</v>
      </c>
      <c r="H50">
        <v>34.7222222222222</v>
      </c>
    </row>
    <row r="51" spans="1:8" ht="12.5" x14ac:dyDescent="0.25">
      <c r="A51" s="16" t="s">
        <v>162</v>
      </c>
      <c r="B51" s="17" t="s">
        <v>163</v>
      </c>
      <c r="C51" s="16" t="s">
        <v>164</v>
      </c>
      <c r="D51" s="18">
        <v>51000</v>
      </c>
      <c r="E51" s="29" t="s">
        <v>165</v>
      </c>
      <c r="F51" s="30">
        <f>D51/10000</f>
        <v>5.0999999999999996</v>
      </c>
      <c r="G51" s="33" t="s">
        <v>315</v>
      </c>
      <c r="H51">
        <v>5.0999999999999996</v>
      </c>
    </row>
    <row r="52" spans="1:8" ht="12.5" x14ac:dyDescent="0.25">
      <c r="A52" s="16" t="s">
        <v>166</v>
      </c>
      <c r="B52" s="17" t="s">
        <v>167</v>
      </c>
      <c r="C52" s="16" t="s">
        <v>125</v>
      </c>
      <c r="D52" s="18">
        <v>56000</v>
      </c>
      <c r="E52" s="29" t="s">
        <v>143</v>
      </c>
      <c r="F52" s="30">
        <f>D52/1250</f>
        <v>44.8</v>
      </c>
      <c r="G52" s="33" t="s">
        <v>315</v>
      </c>
      <c r="H52">
        <v>44.8</v>
      </c>
    </row>
    <row r="53" spans="1:8" ht="12.5" x14ac:dyDescent="0.25">
      <c r="A53" s="16" t="s">
        <v>168</v>
      </c>
      <c r="B53" s="17" t="s">
        <v>169</v>
      </c>
      <c r="C53" s="16" t="s">
        <v>170</v>
      </c>
      <c r="D53" s="18">
        <v>114500</v>
      </c>
      <c r="E53" s="29" t="s">
        <v>149</v>
      </c>
      <c r="F53" s="30">
        <f>D53/5000</f>
        <v>22.9</v>
      </c>
      <c r="G53" s="33" t="s">
        <v>315</v>
      </c>
      <c r="H53">
        <v>22.9</v>
      </c>
    </row>
    <row r="54" spans="1:8" ht="12.5" x14ac:dyDescent="0.25">
      <c r="A54" s="16" t="s">
        <v>171</v>
      </c>
      <c r="B54" s="20" t="s">
        <v>172</v>
      </c>
      <c r="C54" s="19" t="s">
        <v>156</v>
      </c>
      <c r="D54" s="18">
        <v>15750</v>
      </c>
      <c r="E54" s="29" t="s">
        <v>157</v>
      </c>
      <c r="F54" s="30">
        <f>D54/50</f>
        <v>315</v>
      </c>
      <c r="G54" s="33" t="s">
        <v>315</v>
      </c>
      <c r="H54">
        <v>315</v>
      </c>
    </row>
    <row r="55" spans="1:8" ht="12.5" x14ac:dyDescent="0.25">
      <c r="A55" s="16" t="s">
        <v>173</v>
      </c>
      <c r="B55" s="17" t="s">
        <v>174</v>
      </c>
      <c r="C55" s="19" t="s">
        <v>156</v>
      </c>
      <c r="D55" s="18">
        <v>13600</v>
      </c>
      <c r="E55" s="29" t="s">
        <v>157</v>
      </c>
      <c r="F55" s="30">
        <f>D55/50</f>
        <v>272</v>
      </c>
      <c r="G55" s="33" t="s">
        <v>315</v>
      </c>
      <c r="H55">
        <v>272</v>
      </c>
    </row>
    <row r="56" spans="1:8" ht="12.5" x14ac:dyDescent="0.25">
      <c r="A56" s="16" t="s">
        <v>175</v>
      </c>
      <c r="B56" s="17" t="s">
        <v>176</v>
      </c>
      <c r="C56" s="19" t="s">
        <v>177</v>
      </c>
      <c r="D56" s="18">
        <v>88000</v>
      </c>
      <c r="E56" s="29" t="s">
        <v>178</v>
      </c>
      <c r="F56" s="30">
        <f>D56/1</f>
        <v>88000</v>
      </c>
      <c r="G56" s="33" t="s">
        <v>311</v>
      </c>
      <c r="H56">
        <v>88000</v>
      </c>
    </row>
    <row r="57" spans="1:8" ht="12.5" x14ac:dyDescent="0.25">
      <c r="A57" s="16" t="s">
        <v>179</v>
      </c>
      <c r="B57" s="17" t="s">
        <v>180</v>
      </c>
      <c r="C57" s="19" t="s">
        <v>129</v>
      </c>
      <c r="D57" s="18">
        <v>12500</v>
      </c>
      <c r="E57" s="29" t="s">
        <v>130</v>
      </c>
      <c r="F57" s="30">
        <f>D57/100</f>
        <v>125</v>
      </c>
      <c r="G57" s="33" t="s">
        <v>311</v>
      </c>
      <c r="H57">
        <v>125</v>
      </c>
    </row>
    <row r="58" spans="1:8" ht="12.5" x14ac:dyDescent="0.25">
      <c r="A58" s="16" t="s">
        <v>181</v>
      </c>
      <c r="B58" s="17" t="s">
        <v>182</v>
      </c>
      <c r="C58" s="19" t="s">
        <v>183</v>
      </c>
      <c r="D58" s="18">
        <v>35000</v>
      </c>
      <c r="E58" s="29" t="s">
        <v>184</v>
      </c>
      <c r="F58" s="30">
        <f>D58/600</f>
        <v>58.333333333333336</v>
      </c>
      <c r="G58" s="33" t="s">
        <v>311</v>
      </c>
      <c r="H58">
        <v>58.333333333333336</v>
      </c>
    </row>
    <row r="59" spans="1:8" ht="12.5" x14ac:dyDescent="0.25">
      <c r="A59" s="16" t="s">
        <v>185</v>
      </c>
      <c r="B59" s="17" t="s">
        <v>186</v>
      </c>
      <c r="C59" s="19" t="s">
        <v>133</v>
      </c>
      <c r="D59" s="18">
        <v>10541.666999999999</v>
      </c>
      <c r="E59" s="29" t="s">
        <v>134</v>
      </c>
      <c r="F59" s="30">
        <f>D59/50</f>
        <v>210.83333999999999</v>
      </c>
      <c r="G59" s="33" t="s">
        <v>311</v>
      </c>
      <c r="H59">
        <v>210.83333999999999</v>
      </c>
    </row>
    <row r="60" spans="1:8" ht="12.5" x14ac:dyDescent="0.25">
      <c r="A60" s="16" t="s">
        <v>187</v>
      </c>
      <c r="B60" s="17" t="s">
        <v>188</v>
      </c>
      <c r="C60" s="19" t="s">
        <v>133</v>
      </c>
      <c r="D60" s="18">
        <v>12416.666999999999</v>
      </c>
      <c r="E60" s="29" t="s">
        <v>134</v>
      </c>
      <c r="F60" s="30">
        <f>D60/50</f>
        <v>248.33333999999999</v>
      </c>
      <c r="G60" s="33" t="s">
        <v>311</v>
      </c>
      <c r="H60">
        <v>248.33333999999999</v>
      </c>
    </row>
    <row r="61" spans="1:8" ht="12.5" x14ac:dyDescent="0.25">
      <c r="A61" s="16" t="s">
        <v>189</v>
      </c>
      <c r="B61" s="17" t="s">
        <v>190</v>
      </c>
      <c r="C61" s="19" t="s">
        <v>191</v>
      </c>
      <c r="D61" s="18">
        <v>35000</v>
      </c>
      <c r="E61" s="29" t="s">
        <v>192</v>
      </c>
      <c r="F61" s="30">
        <f>D61/210</f>
        <v>166.66666666666666</v>
      </c>
      <c r="G61" s="33" t="s">
        <v>315</v>
      </c>
      <c r="H61">
        <v>166.66666666666666</v>
      </c>
    </row>
    <row r="62" spans="1:8" ht="12.5" x14ac:dyDescent="0.25">
      <c r="A62" s="16" t="s">
        <v>193</v>
      </c>
      <c r="B62" s="17" t="s">
        <v>194</v>
      </c>
      <c r="C62" s="19" t="s">
        <v>133</v>
      </c>
      <c r="D62" s="18">
        <v>10000</v>
      </c>
      <c r="E62" s="29" t="s">
        <v>134</v>
      </c>
      <c r="F62" s="30">
        <f>D62/50</f>
        <v>200</v>
      </c>
      <c r="G62" s="33" t="s">
        <v>311</v>
      </c>
      <c r="H62">
        <v>200</v>
      </c>
    </row>
    <row r="63" spans="1:8" ht="12.5" x14ac:dyDescent="0.25">
      <c r="A63" s="16" t="s">
        <v>195</v>
      </c>
      <c r="B63" s="17" t="s">
        <v>196</v>
      </c>
      <c r="C63" s="16" t="s">
        <v>164</v>
      </c>
      <c r="D63" s="18">
        <v>77000</v>
      </c>
      <c r="E63" s="29" t="s">
        <v>149</v>
      </c>
      <c r="F63" s="30">
        <f>D63/5000</f>
        <v>15.4</v>
      </c>
      <c r="G63" s="33" t="s">
        <v>315</v>
      </c>
      <c r="H63">
        <v>15.4</v>
      </c>
    </row>
    <row r="64" spans="1:8" ht="12.5" x14ac:dyDescent="0.25">
      <c r="A64" s="16" t="s">
        <v>197</v>
      </c>
      <c r="B64" s="17" t="s">
        <v>198</v>
      </c>
      <c r="C64" s="19" t="s">
        <v>199</v>
      </c>
      <c r="D64" s="18">
        <v>120000</v>
      </c>
      <c r="E64" s="29" t="s">
        <v>200</v>
      </c>
      <c r="F64" s="30">
        <f t="shared" ref="F64:F69" si="0">D64/1</f>
        <v>120000</v>
      </c>
      <c r="G64" s="33" t="s">
        <v>311</v>
      </c>
      <c r="H64">
        <v>120000</v>
      </c>
    </row>
    <row r="65" spans="1:8" ht="12.5" x14ac:dyDescent="0.25">
      <c r="A65" s="16" t="s">
        <v>201</v>
      </c>
      <c r="B65" s="17" t="s">
        <v>202</v>
      </c>
      <c r="C65" s="19" t="s">
        <v>203</v>
      </c>
      <c r="D65" s="18">
        <v>100000</v>
      </c>
      <c r="E65" s="29" t="s">
        <v>204</v>
      </c>
      <c r="F65" s="30">
        <f t="shared" si="0"/>
        <v>100000</v>
      </c>
      <c r="G65" s="33" t="s">
        <v>315</v>
      </c>
      <c r="H65">
        <v>100000</v>
      </c>
    </row>
    <row r="66" spans="1:8" ht="12.5" x14ac:dyDescent="0.25">
      <c r="A66" s="16" t="s">
        <v>205</v>
      </c>
      <c r="B66" s="17" t="s">
        <v>206</v>
      </c>
      <c r="C66" s="19" t="s">
        <v>203</v>
      </c>
      <c r="D66" s="18">
        <v>100000</v>
      </c>
      <c r="E66" s="29" t="s">
        <v>204</v>
      </c>
      <c r="F66" s="30">
        <f t="shared" si="0"/>
        <v>100000</v>
      </c>
      <c r="G66" s="33" t="s">
        <v>315</v>
      </c>
      <c r="H66">
        <v>100000</v>
      </c>
    </row>
    <row r="67" spans="1:8" ht="12.5" x14ac:dyDescent="0.25">
      <c r="A67" s="16" t="s">
        <v>207</v>
      </c>
      <c r="B67" s="17" t="s">
        <v>208</v>
      </c>
      <c r="C67" s="19" t="s">
        <v>199</v>
      </c>
      <c r="D67" s="18">
        <v>35000</v>
      </c>
      <c r="E67" s="29" t="s">
        <v>200</v>
      </c>
      <c r="F67" s="30">
        <f t="shared" si="0"/>
        <v>35000</v>
      </c>
      <c r="G67" s="33" t="s">
        <v>311</v>
      </c>
      <c r="H67">
        <v>35000</v>
      </c>
    </row>
    <row r="68" spans="1:8" ht="12.5" x14ac:dyDescent="0.25">
      <c r="A68" s="16" t="s">
        <v>209</v>
      </c>
      <c r="B68" s="17" t="s">
        <v>210</v>
      </c>
      <c r="C68" s="19" t="s">
        <v>199</v>
      </c>
      <c r="D68" s="18">
        <v>100000</v>
      </c>
      <c r="E68" s="29" t="s">
        <v>200</v>
      </c>
      <c r="F68" s="30">
        <f t="shared" si="0"/>
        <v>100000</v>
      </c>
      <c r="G68" s="33" t="s">
        <v>311</v>
      </c>
      <c r="H68">
        <v>100000</v>
      </c>
    </row>
    <row r="69" spans="1:8" ht="12.5" x14ac:dyDescent="0.25">
      <c r="A69" s="16" t="s">
        <v>211</v>
      </c>
      <c r="B69" s="17" t="s">
        <v>212</v>
      </c>
      <c r="C69" s="19" t="s">
        <v>199</v>
      </c>
      <c r="D69" s="18">
        <v>95000</v>
      </c>
      <c r="E69" s="29" t="s">
        <v>200</v>
      </c>
      <c r="F69" s="30">
        <f t="shared" si="0"/>
        <v>95000</v>
      </c>
      <c r="G69" s="33" t="s">
        <v>311</v>
      </c>
      <c r="H69">
        <v>95000</v>
      </c>
    </row>
    <row r="70" spans="1:8" ht="12.5" x14ac:dyDescent="0.25">
      <c r="A70" s="16" t="s">
        <v>213</v>
      </c>
      <c r="B70" s="17" t="s">
        <v>214</v>
      </c>
      <c r="C70" s="19" t="s">
        <v>199</v>
      </c>
      <c r="D70" s="18">
        <v>47500</v>
      </c>
      <c r="E70" s="29" t="s">
        <v>200</v>
      </c>
      <c r="F70" s="30">
        <f t="shared" ref="F70:F80" si="1">D70/1</f>
        <v>47500</v>
      </c>
      <c r="G70" s="33" t="s">
        <v>311</v>
      </c>
      <c r="H70">
        <v>47500</v>
      </c>
    </row>
    <row r="71" spans="1:8" ht="12.5" x14ac:dyDescent="0.25">
      <c r="A71" s="16" t="s">
        <v>215</v>
      </c>
      <c r="B71" s="17" t="s">
        <v>216</v>
      </c>
      <c r="C71" s="19" t="s">
        <v>217</v>
      </c>
      <c r="D71" s="18">
        <v>46800</v>
      </c>
      <c r="E71" s="29" t="s">
        <v>200</v>
      </c>
      <c r="F71" s="30">
        <f t="shared" si="1"/>
        <v>46800</v>
      </c>
      <c r="G71" s="33" t="s">
        <v>311</v>
      </c>
      <c r="H71">
        <v>46800</v>
      </c>
    </row>
    <row r="72" spans="1:8" ht="12.5" x14ac:dyDescent="0.25">
      <c r="A72" s="16" t="s">
        <v>218</v>
      </c>
      <c r="B72" s="17" t="s">
        <v>219</v>
      </c>
      <c r="C72" s="19" t="s">
        <v>199</v>
      </c>
      <c r="D72" s="18">
        <v>24100</v>
      </c>
      <c r="E72" s="29" t="s">
        <v>200</v>
      </c>
      <c r="F72" s="30">
        <f t="shared" si="1"/>
        <v>24100</v>
      </c>
      <c r="G72" s="33" t="s">
        <v>311</v>
      </c>
      <c r="H72">
        <v>24100</v>
      </c>
    </row>
    <row r="73" spans="1:8" ht="12.5" x14ac:dyDescent="0.25">
      <c r="A73" s="16" t="s">
        <v>220</v>
      </c>
      <c r="B73" s="17" t="s">
        <v>221</v>
      </c>
      <c r="C73" s="19" t="s">
        <v>199</v>
      </c>
      <c r="D73" s="18">
        <v>22500</v>
      </c>
      <c r="E73" s="29" t="s">
        <v>200</v>
      </c>
      <c r="F73" s="30">
        <f t="shared" si="1"/>
        <v>22500</v>
      </c>
      <c r="G73" s="33" t="s">
        <v>311</v>
      </c>
      <c r="H73">
        <v>22500</v>
      </c>
    </row>
    <row r="74" spans="1:8" ht="12.5" x14ac:dyDescent="0.25">
      <c r="A74" s="16" t="s">
        <v>222</v>
      </c>
      <c r="B74" s="17" t="s">
        <v>223</v>
      </c>
      <c r="C74" s="19" t="s">
        <v>199</v>
      </c>
      <c r="D74" s="18">
        <v>50000</v>
      </c>
      <c r="E74" s="29" t="s">
        <v>200</v>
      </c>
      <c r="F74" s="30">
        <f t="shared" si="1"/>
        <v>50000</v>
      </c>
      <c r="G74" s="33" t="s">
        <v>311</v>
      </c>
      <c r="H74">
        <v>50000</v>
      </c>
    </row>
    <row r="75" spans="1:8" ht="12.5" x14ac:dyDescent="0.25">
      <c r="A75" s="16" t="s">
        <v>224</v>
      </c>
      <c r="B75" s="17" t="s">
        <v>225</v>
      </c>
      <c r="C75" s="19" t="s">
        <v>199</v>
      </c>
      <c r="D75" s="18">
        <v>60000</v>
      </c>
      <c r="E75" s="29" t="s">
        <v>200</v>
      </c>
      <c r="F75" s="30">
        <f t="shared" si="1"/>
        <v>60000</v>
      </c>
      <c r="G75" s="33" t="s">
        <v>311</v>
      </c>
      <c r="H75">
        <v>60000</v>
      </c>
    </row>
    <row r="76" spans="1:8" ht="12.5" x14ac:dyDescent="0.25">
      <c r="A76" s="16" t="s">
        <v>226</v>
      </c>
      <c r="B76" s="17" t="s">
        <v>227</v>
      </c>
      <c r="C76" s="19" t="s">
        <v>199</v>
      </c>
      <c r="D76" s="18">
        <v>120000</v>
      </c>
      <c r="E76" s="29" t="s">
        <v>200</v>
      </c>
      <c r="F76" s="30">
        <f t="shared" si="1"/>
        <v>120000</v>
      </c>
      <c r="G76" s="33" t="s">
        <v>311</v>
      </c>
      <c r="H76">
        <v>120000</v>
      </c>
    </row>
    <row r="77" spans="1:8" ht="12.5" x14ac:dyDescent="0.25">
      <c r="A77" s="16" t="s">
        <v>228</v>
      </c>
      <c r="B77" s="17" t="s">
        <v>229</v>
      </c>
      <c r="C77" s="19" t="s">
        <v>199</v>
      </c>
      <c r="D77" s="18">
        <v>35500</v>
      </c>
      <c r="E77" s="29" t="s">
        <v>200</v>
      </c>
      <c r="F77" s="30">
        <f t="shared" si="1"/>
        <v>35500</v>
      </c>
      <c r="G77" s="33" t="s">
        <v>311</v>
      </c>
      <c r="H77">
        <v>35500</v>
      </c>
    </row>
    <row r="78" spans="1:8" ht="12.5" x14ac:dyDescent="0.25">
      <c r="A78" s="16" t="s">
        <v>230</v>
      </c>
      <c r="B78" s="17" t="s">
        <v>231</v>
      </c>
      <c r="C78" s="19" t="s">
        <v>199</v>
      </c>
      <c r="D78" s="18">
        <v>70000</v>
      </c>
      <c r="E78" s="29" t="s">
        <v>200</v>
      </c>
      <c r="F78" s="30">
        <f t="shared" si="1"/>
        <v>70000</v>
      </c>
      <c r="G78" s="33" t="s">
        <v>311</v>
      </c>
      <c r="H78">
        <v>70000</v>
      </c>
    </row>
    <row r="79" spans="1:8" ht="12.5" x14ac:dyDescent="0.25">
      <c r="A79" s="16" t="s">
        <v>232</v>
      </c>
      <c r="B79" s="17" t="s">
        <v>233</v>
      </c>
      <c r="C79" s="19" t="s">
        <v>199</v>
      </c>
      <c r="D79" s="18">
        <v>35000</v>
      </c>
      <c r="E79" s="29" t="s">
        <v>200</v>
      </c>
      <c r="F79" s="30">
        <f t="shared" si="1"/>
        <v>35000</v>
      </c>
      <c r="G79" s="33" t="s">
        <v>311</v>
      </c>
      <c r="H79">
        <v>35000</v>
      </c>
    </row>
    <row r="80" spans="1:8" ht="12.5" x14ac:dyDescent="0.25">
      <c r="A80" s="16" t="s">
        <v>234</v>
      </c>
      <c r="B80" s="17" t="s">
        <v>235</v>
      </c>
      <c r="C80" s="19" t="s">
        <v>236</v>
      </c>
      <c r="D80" s="18">
        <v>3666.67</v>
      </c>
      <c r="E80" s="29" t="s">
        <v>200</v>
      </c>
      <c r="F80" s="30">
        <f t="shared" si="1"/>
        <v>3666.67</v>
      </c>
      <c r="G80" s="33" t="s">
        <v>311</v>
      </c>
      <c r="H80">
        <v>3666.67</v>
      </c>
    </row>
    <row r="81" spans="1:8" ht="12.5" x14ac:dyDescent="0.25">
      <c r="A81" s="16" t="s">
        <v>237</v>
      </c>
      <c r="B81" s="17" t="s">
        <v>238</v>
      </c>
      <c r="C81" s="19" t="s">
        <v>239</v>
      </c>
      <c r="D81" s="18">
        <v>66000</v>
      </c>
      <c r="E81" s="29" t="s">
        <v>240</v>
      </c>
      <c r="F81" s="30">
        <f>D81/5</f>
        <v>13200</v>
      </c>
      <c r="G81" s="33" t="s">
        <v>316</v>
      </c>
      <c r="H81">
        <v>13200</v>
      </c>
    </row>
    <row r="82" spans="1:8" ht="12.5" x14ac:dyDescent="0.25">
      <c r="A82" s="16" t="s">
        <v>241</v>
      </c>
      <c r="B82" s="17" t="s">
        <v>242</v>
      </c>
      <c r="C82" s="19" t="s">
        <v>243</v>
      </c>
      <c r="D82" s="18">
        <v>21000</v>
      </c>
      <c r="E82" s="29" t="s">
        <v>244</v>
      </c>
      <c r="F82" s="30">
        <f>D82/10</f>
        <v>2100</v>
      </c>
      <c r="G82" s="33" t="s">
        <v>316</v>
      </c>
      <c r="H82">
        <v>2100</v>
      </c>
    </row>
    <row r="83" spans="1:8" ht="12.5" x14ac:dyDescent="0.25">
      <c r="A83" s="16" t="s">
        <v>245</v>
      </c>
      <c r="B83" s="17" t="s">
        <v>246</v>
      </c>
      <c r="C83" s="19" t="s">
        <v>243</v>
      </c>
      <c r="D83" s="18">
        <v>45000</v>
      </c>
      <c r="E83" s="29" t="s">
        <v>244</v>
      </c>
      <c r="F83" s="30">
        <f>D83/10</f>
        <v>4500</v>
      </c>
      <c r="G83" s="33" t="s">
        <v>316</v>
      </c>
      <c r="H83">
        <v>4500</v>
      </c>
    </row>
    <row r="84" spans="1:8" ht="12.5" x14ac:dyDescent="0.25">
      <c r="A84" s="16" t="s">
        <v>247</v>
      </c>
      <c r="B84" s="17" t="s">
        <v>248</v>
      </c>
      <c r="C84" s="19" t="s">
        <v>249</v>
      </c>
      <c r="D84" s="18">
        <v>11000</v>
      </c>
      <c r="E84" s="29" t="s">
        <v>157</v>
      </c>
      <c r="F84" s="30" t="s">
        <v>305</v>
      </c>
      <c r="G84" s="33" t="s">
        <v>315</v>
      </c>
    </row>
    <row r="85" spans="1:8" ht="12.5" x14ac:dyDescent="0.25">
      <c r="A85" s="16" t="s">
        <v>250</v>
      </c>
      <c r="B85" s="17" t="s">
        <v>251</v>
      </c>
      <c r="C85" s="19" t="s">
        <v>252</v>
      </c>
      <c r="D85" s="18">
        <v>56000</v>
      </c>
      <c r="E85" s="29" t="s">
        <v>253</v>
      </c>
      <c r="F85" s="30" t="s">
        <v>305</v>
      </c>
      <c r="G85" s="33" t="s">
        <v>315</v>
      </c>
    </row>
    <row r="86" spans="1:8" ht="12.5" x14ac:dyDescent="0.25">
      <c r="A86" s="16" t="s">
        <v>254</v>
      </c>
      <c r="B86" s="17" t="s">
        <v>255</v>
      </c>
      <c r="C86" s="19" t="s">
        <v>156</v>
      </c>
      <c r="D86" s="18">
        <v>38000</v>
      </c>
      <c r="E86" s="29" t="s">
        <v>157</v>
      </c>
      <c r="F86" s="30" t="s">
        <v>305</v>
      </c>
      <c r="G86" s="33" t="s">
        <v>315</v>
      </c>
    </row>
    <row r="87" spans="1:8" ht="12.5" x14ac:dyDescent="0.25">
      <c r="A87" s="16" t="s">
        <v>256</v>
      </c>
      <c r="B87" s="17" t="s">
        <v>257</v>
      </c>
      <c r="C87" s="19" t="s">
        <v>258</v>
      </c>
      <c r="D87" s="18">
        <v>21000</v>
      </c>
      <c r="E87" s="29" t="s">
        <v>259</v>
      </c>
      <c r="F87" s="30" t="s">
        <v>305</v>
      </c>
      <c r="G87" s="33" t="s">
        <v>315</v>
      </c>
    </row>
    <row r="88" spans="1:8" ht="12.5" x14ac:dyDescent="0.25">
      <c r="A88" s="16" t="s">
        <v>260</v>
      </c>
      <c r="B88" s="17" t="s">
        <v>261</v>
      </c>
      <c r="C88" s="19" t="s">
        <v>252</v>
      </c>
      <c r="D88" s="18">
        <v>11000</v>
      </c>
      <c r="E88" s="29" t="s">
        <v>253</v>
      </c>
      <c r="F88" s="30">
        <f>D88/100</f>
        <v>110</v>
      </c>
      <c r="G88" s="33" t="s">
        <v>315</v>
      </c>
    </row>
    <row r="89" spans="1:8" ht="12.5" x14ac:dyDescent="0.25">
      <c r="A89" s="16" t="s">
        <v>262</v>
      </c>
      <c r="B89" s="17" t="s">
        <v>263</v>
      </c>
      <c r="C89" s="16" t="s">
        <v>264</v>
      </c>
      <c r="D89" s="18">
        <v>360000</v>
      </c>
      <c r="E89" s="29" t="s">
        <v>265</v>
      </c>
      <c r="F89" s="30"/>
      <c r="G89" s="33" t="s">
        <v>315</v>
      </c>
    </row>
    <row r="90" spans="1:8" ht="12.5" x14ac:dyDescent="0.25">
      <c r="A90" s="16" t="s">
        <v>266</v>
      </c>
      <c r="B90" s="17" t="s">
        <v>267</v>
      </c>
      <c r="C90" s="19" t="s">
        <v>199</v>
      </c>
      <c r="D90" s="18">
        <v>500</v>
      </c>
      <c r="E90" s="29" t="s">
        <v>200</v>
      </c>
      <c r="F90" s="30" t="s">
        <v>305</v>
      </c>
      <c r="G90" s="33" t="s">
        <v>311</v>
      </c>
    </row>
    <row r="91" spans="1:8" ht="12.5" x14ac:dyDescent="0.25">
      <c r="A91" s="16" t="s">
        <v>268</v>
      </c>
      <c r="B91" s="17" t="s">
        <v>269</v>
      </c>
      <c r="C91" s="19" t="s">
        <v>270</v>
      </c>
      <c r="D91" s="18">
        <v>10900</v>
      </c>
      <c r="E91" s="29" t="s">
        <v>271</v>
      </c>
      <c r="F91" s="30" t="s">
        <v>305</v>
      </c>
      <c r="G91" s="33" t="s">
        <v>308</v>
      </c>
    </row>
    <row r="92" spans="1:8" ht="12.5" x14ac:dyDescent="0.25">
      <c r="A92" s="16" t="s">
        <v>272</v>
      </c>
      <c r="B92" s="17" t="s">
        <v>273</v>
      </c>
      <c r="C92" s="19" t="s">
        <v>68</v>
      </c>
      <c r="D92" s="18">
        <v>64000</v>
      </c>
      <c r="E92" s="29" t="s">
        <v>69</v>
      </c>
      <c r="F92" s="30" t="s">
        <v>305</v>
      </c>
      <c r="G92" s="33" t="s">
        <v>317</v>
      </c>
    </row>
    <row r="93" spans="1:8" ht="12.5" x14ac:dyDescent="0.25">
      <c r="A93" s="16" t="s">
        <v>274</v>
      </c>
      <c r="B93" s="17" t="s">
        <v>275</v>
      </c>
      <c r="C93" s="19" t="s">
        <v>276</v>
      </c>
      <c r="D93" s="18">
        <v>9400</v>
      </c>
      <c r="E93" s="29" t="s">
        <v>277</v>
      </c>
      <c r="F93" s="30" t="s">
        <v>305</v>
      </c>
      <c r="G93" s="33" t="s">
        <v>309</v>
      </c>
    </row>
    <row r="94" spans="1:8" ht="12.5" x14ac:dyDescent="0.25">
      <c r="A94" s="16" t="s">
        <v>278</v>
      </c>
      <c r="B94" s="17" t="s">
        <v>279</v>
      </c>
      <c r="C94" s="19" t="s">
        <v>280</v>
      </c>
      <c r="D94" s="18">
        <v>6300</v>
      </c>
      <c r="E94" s="29" t="s">
        <v>281</v>
      </c>
      <c r="F94" s="30" t="s">
        <v>305</v>
      </c>
      <c r="G94" s="33" t="s">
        <v>309</v>
      </c>
    </row>
    <row r="95" spans="1:8" ht="12.5" x14ac:dyDescent="0.25">
      <c r="A95" s="16" t="s">
        <v>282</v>
      </c>
      <c r="B95" s="17" t="s">
        <v>283</v>
      </c>
      <c r="C95" s="19" t="s">
        <v>284</v>
      </c>
      <c r="D95" s="18">
        <v>10800</v>
      </c>
      <c r="E95" s="29" t="s">
        <v>285</v>
      </c>
      <c r="F95" s="30" t="s">
        <v>305</v>
      </c>
      <c r="G95" s="33" t="s">
        <v>309</v>
      </c>
    </row>
    <row r="96" spans="1:8" ht="12.5" x14ac:dyDescent="0.25">
      <c r="A96" s="16" t="s">
        <v>286</v>
      </c>
      <c r="B96" s="17" t="s">
        <v>287</v>
      </c>
      <c r="C96" s="19" t="s">
        <v>60</v>
      </c>
      <c r="D96" s="18">
        <v>30300</v>
      </c>
      <c r="E96" s="29" t="s">
        <v>61</v>
      </c>
      <c r="F96" s="30" t="s">
        <v>305</v>
      </c>
      <c r="G96" s="33" t="s">
        <v>317</v>
      </c>
    </row>
    <row r="97" spans="1:7" ht="12.5" x14ac:dyDescent="0.25">
      <c r="A97" s="16" t="s">
        <v>288</v>
      </c>
      <c r="B97" s="17" t="s">
        <v>289</v>
      </c>
      <c r="C97" s="19" t="s">
        <v>60</v>
      </c>
      <c r="D97" s="18">
        <v>26400</v>
      </c>
      <c r="E97" s="29" t="s">
        <v>61</v>
      </c>
      <c r="F97" s="30" t="s">
        <v>305</v>
      </c>
      <c r="G97" s="33" t="s">
        <v>317</v>
      </c>
    </row>
    <row r="98" spans="1:7" ht="12.5" x14ac:dyDescent="0.25">
      <c r="A98" s="16" t="s">
        <v>290</v>
      </c>
      <c r="B98" s="17" t="s">
        <v>291</v>
      </c>
      <c r="C98" s="19" t="s">
        <v>270</v>
      </c>
      <c r="D98" s="18">
        <v>7000</v>
      </c>
      <c r="E98" s="29" t="s">
        <v>271</v>
      </c>
      <c r="F98" s="30" t="s">
        <v>305</v>
      </c>
      <c r="G98" s="33" t="s">
        <v>308</v>
      </c>
    </row>
    <row r="99" spans="1:7" ht="12.5" x14ac:dyDescent="0.25">
      <c r="A99" s="16" t="s">
        <v>292</v>
      </c>
      <c r="B99" s="17" t="s">
        <v>293</v>
      </c>
      <c r="C99" s="19" t="s">
        <v>294</v>
      </c>
      <c r="D99" s="18">
        <v>37300</v>
      </c>
      <c r="E99" s="29" t="s">
        <v>295</v>
      </c>
      <c r="F99" s="30" t="s">
        <v>305</v>
      </c>
      <c r="G99" s="33" t="s">
        <v>309</v>
      </c>
    </row>
    <row r="100" spans="1:7" ht="12.5" x14ac:dyDescent="0.25">
      <c r="A100" s="16" t="s">
        <v>296</v>
      </c>
      <c r="B100" s="17" t="s">
        <v>297</v>
      </c>
      <c r="C100" s="19" t="s">
        <v>199</v>
      </c>
      <c r="D100" s="18">
        <v>3000</v>
      </c>
      <c r="E100" s="29" t="s">
        <v>200</v>
      </c>
      <c r="F100" s="30" t="s">
        <v>305</v>
      </c>
      <c r="G100" s="33" t="s">
        <v>311</v>
      </c>
    </row>
    <row r="101" spans="1:7" ht="12.5" x14ac:dyDescent="0.25">
      <c r="A101" s="16" t="s">
        <v>298</v>
      </c>
      <c r="B101" s="17" t="s">
        <v>299</v>
      </c>
      <c r="C101" s="19" t="s">
        <v>199</v>
      </c>
      <c r="D101" s="18">
        <v>17000</v>
      </c>
      <c r="E101" s="29" t="s">
        <v>200</v>
      </c>
      <c r="F101" s="30" t="s">
        <v>305</v>
      </c>
      <c r="G101" s="33" t="s">
        <v>311</v>
      </c>
    </row>
    <row r="102" spans="1:7" ht="12.5" x14ac:dyDescent="0.25">
      <c r="A102" s="16" t="s">
        <v>300</v>
      </c>
      <c r="B102" s="17" t="s">
        <v>301</v>
      </c>
      <c r="C102" s="19" t="s">
        <v>199</v>
      </c>
      <c r="D102" s="18">
        <v>6000</v>
      </c>
      <c r="E102" s="29" t="s">
        <v>200</v>
      </c>
      <c r="F102" s="30" t="s">
        <v>305</v>
      </c>
      <c r="G102" s="33" t="s">
        <v>311</v>
      </c>
    </row>
    <row r="103" spans="1:7" ht="12.5" x14ac:dyDescent="0.25">
      <c r="A103" s="16" t="s">
        <v>302</v>
      </c>
      <c r="B103" s="17" t="s">
        <v>303</v>
      </c>
      <c r="C103" s="19" t="s">
        <v>199</v>
      </c>
      <c r="D103" s="18">
        <v>6000</v>
      </c>
      <c r="E103" s="29" t="s">
        <v>200</v>
      </c>
      <c r="F103" s="30" t="s">
        <v>305</v>
      </c>
      <c r="G103" s="33" t="s">
        <v>311</v>
      </c>
    </row>
  </sheetData>
  <mergeCells count="8">
    <mergeCell ref="G2:G4"/>
    <mergeCell ref="F2:F4"/>
    <mergeCell ref="A1:E1"/>
    <mergeCell ref="A2:A4"/>
    <mergeCell ref="B2:B4"/>
    <mergeCell ref="C2:C4"/>
    <mergeCell ref="D2:D4"/>
    <mergeCell ref="E2:E4"/>
  </mergeCells>
  <pageMargins left="0.7" right="0.7" top="0.75" bottom="0.75" header="0.3" footer="0.3"/>
  <pageSetup paperSize="9" orientation="portrait" horizontalDpi="0" verticalDpi="0" r:id="rId1"/>
  <ignoredErrors>
    <ignoredError sqref="F6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 Kamal</cp:lastModifiedBy>
  <dcterms:modified xsi:type="dcterms:W3CDTF">2026-08-25T03:14:55Z</dcterms:modified>
</cp:coreProperties>
</file>